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9B5589DE-3C88-46D9-B3A8-428A11D4D02C}" xr6:coauthVersionLast="47" xr6:coauthVersionMax="47" xr10:uidLastSave="{00000000-0000-0000-0000-000000000000}"/>
  <bookViews>
    <workbookView xWindow="28680" yWindow="-120" windowWidth="16440" windowHeight="2832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" i="18" l="1"/>
  <c r="H78" i="18"/>
  <c r="G78" i="18"/>
  <c r="F78" i="18"/>
  <c r="E78" i="18"/>
  <c r="D78" i="18"/>
  <c r="L76" i="18"/>
  <c r="I76" i="18"/>
  <c r="H76" i="18"/>
  <c r="G76" i="18"/>
  <c r="F76" i="18"/>
  <c r="E76" i="18"/>
  <c r="D76" i="18"/>
  <c r="L75" i="18"/>
  <c r="L78" i="18" s="1"/>
  <c r="K75" i="18"/>
  <c r="K76" i="18" s="1"/>
  <c r="J75" i="18"/>
  <c r="J78" i="18" s="1"/>
  <c r="I75" i="18"/>
  <c r="H75" i="18"/>
  <c r="G75" i="18"/>
  <c r="F75" i="18"/>
  <c r="E75" i="18"/>
  <c r="D75" i="18"/>
  <c r="Q55" i="18"/>
  <c r="Q52" i="18"/>
  <c r="Q51" i="18"/>
  <c r="Q50" i="18"/>
  <c r="J48" i="18"/>
  <c r="J57" i="18" s="1"/>
  <c r="J46" i="18"/>
  <c r="Q45" i="18"/>
  <c r="Q44" i="18"/>
  <c r="L43" i="18"/>
  <c r="L46" i="18" s="1"/>
  <c r="L48" i="18" s="1"/>
  <c r="L57" i="18" s="1"/>
  <c r="K43" i="18"/>
  <c r="K46" i="18" s="1"/>
  <c r="K48" i="18" s="1"/>
  <c r="K57" i="18" s="1"/>
  <c r="J43" i="18"/>
  <c r="I43" i="18"/>
  <c r="I46" i="18" s="1"/>
  <c r="I48" i="18" s="1"/>
  <c r="I57" i="18" s="1"/>
  <c r="H43" i="18"/>
  <c r="H46" i="18" s="1"/>
  <c r="H48" i="18" s="1"/>
  <c r="H57" i="18" s="1"/>
  <c r="G43" i="18"/>
  <c r="G46" i="18" s="1"/>
  <c r="G48" i="18" s="1"/>
  <c r="G57" i="18" s="1"/>
  <c r="F43" i="18"/>
  <c r="F46" i="18" s="1"/>
  <c r="F48" i="18" s="1"/>
  <c r="F57" i="18" s="1"/>
  <c r="E43" i="18"/>
  <c r="E46" i="18" s="1"/>
  <c r="E48" i="18" s="1"/>
  <c r="E57" i="18" s="1"/>
  <c r="D43" i="18"/>
  <c r="Q43" i="18" s="1"/>
  <c r="Q42" i="18"/>
  <c r="K78" i="18" l="1"/>
  <c r="Q78" i="18" s="1"/>
  <c r="J76" i="18"/>
  <c r="Q76" i="18" s="1"/>
  <c r="Q75" i="18"/>
  <c r="D46" i="18"/>
  <c r="Q46" i="18" l="1"/>
  <c r="D48" i="18"/>
  <c r="Q48" i="18" l="1"/>
  <c r="D57" i="18"/>
  <c r="Q57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<sst xmlns="http://schemas.openxmlformats.org/spreadsheetml/2006/main" count="235" uniqueCount="130">
  <si>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</si>
  <si>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</si>
  <si>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</si>
  <si>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</si>
  <si>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</si>
  <si>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</si>
  <si>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</si>
  <si>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</si>
  <si>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</si>
  <si>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</si>
  <si>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</si>
  <si>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</si>
  <si>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</si>
  <si>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</si>
  <si>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</si>
  <si>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</si>
  <si>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</si>
  <si>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</si>
  <si>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</si>
  <si>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</si>
  <si>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</si>
  <si>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</si>
  <si>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</si>
  <si>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</si>
  <si>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</si>
  <si>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</si>
  <si>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</si>
  <si>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</si>
  <si>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</si>
  <si>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</si>
  <si>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</si>
  <si>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</si>
  <si>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</si>
  <si>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</si>
  <si>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</si>
  <si>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</si>
  <si>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</si>
  <si>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</si>
  <si>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</si>
  <si>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</si>
  <si>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</si>
  <si>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</si>
  <si>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</si>
  <si>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</si>
  <si>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</si>
  <si>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</si>
  <si>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</si>
  <si>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</si>
  <si>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</si>
  <si>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</si>
  <si>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</si>
  <si>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</si>
  <si>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</si>
  <si>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</si>
  <si>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</si>
  <si>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</si>
  <si>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</si>
  <si>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</si>
  <si>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</si>
  <si>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</si>
  <si>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</si>
  <si>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</si>
  <si>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</si>
  <si>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</si>
  <si>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</si>
  <si>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</si>
  <si>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</si>
  <si>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</si>
  <si>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</si>
  <si>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</si>
  <si>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</si>
  <si>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</si>
  <si>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</si>
  <si>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</si>
  <si>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</si>
  <si>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</si>
  <si>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</si>
  <si>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</si>
  <si>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</si>
  <si>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</si>
  <si>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</si>
  <si>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</si>
  <si>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</si>
  <si>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</si>
  <si>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</si>
  <si>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</si>
  <si>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</si>
  <si>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</si>
  <si>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</si>
  <si>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</si>
  <si>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</si>
  <si>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</si>
  <si>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</si>
  <si>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</si>
  <si>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</si>
  <si>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</si>
  <si>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</si>
  <si>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</si>
  <si>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</si>
  <si>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</si>
  <si>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</si>
  <si>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</si>
  <si>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</si>
  <si>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</si>
  <si>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</si>
  <si>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</si>
  <si>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</si>
  <si>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</si>
  <si>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</si>
  <si>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</si>
  <si>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</si>
  <si>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</si>
  <si>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</si>
  <si>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</si>
  <si>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</si>
  <si>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</si>
  <si>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</si>
  <si>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</si>
  <si>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</si>
  <si>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</si>
  <si>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</si>
  <si>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</si>
  <si>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</si>
  <si>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</si>
  <si>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</si>
  <si>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</si>
  <si>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</si>
  <si>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>2025</t>
  </si>
  <si>
    <t/>
  </si>
  <si>
    <t xml:space="preserve"> Run Date:  27 October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</si>
</sst>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164" fontId="7" fillId="0" borderId="0" xfId="1" quotePrefix="1" applyNumberFormat="1" applyFont="1" applyFill="1" applyAlignment="1">
      <alignment horizontal="left" vertical="center"/>
    </xf>
    <xf numFmtId="0" fontId="22" fillId="0" borderId="1" xfId="0" applyFont="1" applyBorder="1" applyAlignment="1">
      <alignment horizontal="center"/>
    </xf>
    <xf numFmtId="0" fontId="24" fillId="0" borderId="0" xfId="0" applyFont="1" applyFill="1" applyAlignment="1">
      <alignment horizontal="left" indent="3"/>
    </xf>
    <xf numFmtId="0" fontId="0" fillId="0" borderId="0" xfId="0" applyFill="1" applyAlignment="1">
      <alignment horizontal="left" indent="3"/>
    </xf>
    <xf numFmtId="0" fontId="24" fillId="0" borderId="0" xfId="0" applyFont="1" applyFill="1" applyAlignment="1">
      <alignment horizontal="left" indent="6"/>
    </xf>
    <xf numFmtId="0" fontId="0" fillId="0" borderId="0" xfId="0" applyFill="1" applyAlignment="1">
      <alignment horizontal="left"/>
    </xf>
    <xf numFmtId="0" fontId="24" fillId="0" borderId="0" xfId="0" applyFont="1" applyFill="1"/>
    <xf numFmtId="0" fontId="0" fillId="0" borderId="0" xfId="0" applyFill="1"/>
    <xf numFmtId="0" fontId="24" fillId="0" borderId="0" xfId="0" applyFont="1" applyFill="1" applyAlignment="1">
      <alignment horizontal="left"/>
    </xf>
    <xf numFmtId="0" fontId="25" fillId="0" borderId="0" xfId="0" applyFont="1" applyFill="1"/>
    <xf numFmtId="0" fontId="25" fillId="0" borderId="0" xfId="0" applyFont="1" applyFill="1" applyAlignment="1">
      <alignment horizontal="right"/>
    </xf>
    <xf numFmtId="0" fontId="6" fillId="0" borderId="0" xfId="0" applyFont="1" applyFill="1" applyAlignment="1">
      <alignment horizontal="left" vertical="center"/>
    </xf>
    <xf numFmtId="0" fontId="30" fillId="0" borderId="0" xfId="0" applyFont="1" applyFill="1" applyAlignment="1">
      <alignment horizontal="left"/>
    </xf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1694180</xdr:colOff>
      <xdr:row>3</xdr:row>
      <xdr:rowOff>18051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09375" defaultRowHeight="14.4"/>
  <cols>
    <col min="1" max="1" width="4" customWidth="1"/>
    <col min="2" max="2" width="43" customWidth="1"/>
    <col min="3" max="3" width="3.88671875" customWidth="1"/>
    <col min="4" max="15" width="14.5546875" customWidth="1"/>
    <col min="16" max="16" width="1.5546875" customWidth="1"/>
    <col min="17" max="17" width="17" customWidth="1"/>
    <col min="18" max="18" width="14.5546875" customWidth="1"/>
    <col min="21" max="21" width="20.33203125" customWidth="1"/>
    <col min="22" max="22" width="14.441406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4" t="s">
        <v>120</v>
      </c>
      <c r="I3" s="104"/>
      <c r="J3" s="104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topLeftCell="B1" zoomScale="80" zoomScaleNormal="80" workbookViewId="0">
      <selection activeCell="E4" sqref="E4"/>
    </sheetView>
  </sheetViews>
  <sheetFormatPr defaultRowHeight="14.4"/>
  <cols>
    <col min="1" max="1" width="4" customWidth="1"/>
    <col min="2" max="2" width="44.6640625" customWidth="1"/>
    <col min="3" max="3" width="4" customWidth="1"/>
    <col min="4" max="13" width="15.6640625" customWidth="1"/>
    <col min="14" max="14" width="15.88671875" customWidth="1"/>
    <col min="15" max="15" width="15.6640625" customWidth="1"/>
    <col min="16" max="16" width="1.5546875" customWidth="1"/>
    <col min="17" max="17" width="19.441406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4" t="s">
        <v>120</v>
      </c>
      <c r="I3" s="104"/>
      <c r="J3" s="104"/>
      <c r="K3" s="34"/>
      <c r="Q3"/>
    </row>
    <row r="4" spans="2:22" ht="22.5" customHeight="1">
      <c r="B4" s="47" t="s">
        <v>129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127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9506619.9000000004</v>
      </c>
      <c r="E7" s="16">
        <v>9473787.8000000007</v>
      </c>
      <c r="F7" s="16">
        <v>8863594.4000000004</v>
      </c>
      <c r="G7" s="16">
        <v>9166840.3000000007</v>
      </c>
      <c r="H7" s="16">
        <v>10019682.5</v>
      </c>
      <c r="I7" s="16">
        <v>9475340</v>
      </c>
      <c r="J7" s="16">
        <v>9440385.8000000007</v>
      </c>
      <c r="K7" s="16">
        <v>9658687.3000000007</v>
      </c>
      <c r="L7" s="16">
        <v>9453096.6999999993</v>
      </c>
      <c r="M7" s="16">
        <v>0</v>
      </c>
      <c r="N7" s="16">
        <v>0</v>
      </c>
      <c r="O7" s="16">
        <v>0</v>
      </c>
      <c r="P7" s="8"/>
      <c r="Q7" s="91">
        <v>9506619.9000000004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1504352</v>
      </c>
      <c r="E11" s="16">
        <v>1373031.9</v>
      </c>
      <c r="F11" s="16">
        <v>1595942.9</v>
      </c>
      <c r="G11" s="16">
        <v>1568974.1</v>
      </c>
      <c r="H11" s="16">
        <v>1579879.1</v>
      </c>
      <c r="I11" s="16">
        <v>1518130.7</v>
      </c>
      <c r="J11" s="16">
        <v>1592509.6</v>
      </c>
      <c r="K11" s="16">
        <v>1602644.6</v>
      </c>
      <c r="L11" s="16">
        <v>1526191.3</v>
      </c>
      <c r="M11" s="16">
        <v>0</v>
      </c>
      <c r="N11" s="16">
        <v>0</v>
      </c>
      <c r="O11" s="16">
        <v>0</v>
      </c>
      <c r="P11" s="8"/>
      <c r="Q11" s="91">
        <v>13861656.199999999</v>
      </c>
    </row>
    <row r="12" spans="2:22" s="1" customFormat="1">
      <c r="B12" s="77" t="s">
        <v>26</v>
      </c>
      <c r="C12"/>
      <c r="D12" s="90">
        <v>374350.5</v>
      </c>
      <c r="E12" s="16">
        <v>331222</v>
      </c>
      <c r="F12" s="16">
        <v>382820.3</v>
      </c>
      <c r="G12" s="16">
        <v>372022</v>
      </c>
      <c r="H12" s="16">
        <v>371738.7</v>
      </c>
      <c r="I12" s="16">
        <v>341204</v>
      </c>
      <c r="J12" s="16">
        <v>349883</v>
      </c>
      <c r="K12" s="16">
        <v>346225</v>
      </c>
      <c r="L12" s="16">
        <v>334003.90000000002</v>
      </c>
      <c r="M12" s="16">
        <v>0</v>
      </c>
      <c r="N12" s="16">
        <v>0</v>
      </c>
      <c r="O12" s="16">
        <v>0</v>
      </c>
      <c r="P12" s="8"/>
      <c r="Q12" s="91">
        <v>3203469.4</v>
      </c>
    </row>
    <row r="13" spans="2:22">
      <c r="B13" s="77" t="s">
        <v>27</v>
      </c>
      <c r="D13" s="90">
        <v>177680.7</v>
      </c>
      <c r="E13" s="16">
        <v>159687.20000000001</v>
      </c>
      <c r="F13" s="16">
        <v>185699.20000000001</v>
      </c>
      <c r="G13" s="16">
        <v>173536.9</v>
      </c>
      <c r="H13" s="16">
        <v>177153.9</v>
      </c>
      <c r="I13" s="16">
        <v>167331.9</v>
      </c>
      <c r="J13" s="16">
        <v>172315.1</v>
      </c>
      <c r="K13" s="16">
        <v>171103.5</v>
      </c>
      <c r="L13" s="16">
        <v>162637.70000000001</v>
      </c>
      <c r="M13" s="16">
        <v>0</v>
      </c>
      <c r="N13" s="16">
        <v>0</v>
      </c>
      <c r="O13" s="16">
        <v>0</v>
      </c>
      <c r="P13" s="8"/>
      <c r="Q13" s="91">
        <v>1547146.1</v>
      </c>
    </row>
    <row r="14" spans="2:22">
      <c r="B14" s="77" t="s">
        <v>122</v>
      </c>
      <c r="D14" s="96">
        <v>652795.6</v>
      </c>
      <c r="E14" s="76">
        <v>585014</v>
      </c>
      <c r="F14" s="76">
        <v>644159.5</v>
      </c>
      <c r="G14" s="75">
        <v>618855.5</v>
      </c>
      <c r="H14" s="75">
        <v>627495.4</v>
      </c>
      <c r="I14" s="75">
        <v>615875.1</v>
      </c>
      <c r="J14" s="75">
        <v>628878.6</v>
      </c>
      <c r="K14" s="75">
        <v>626441.4</v>
      </c>
      <c r="L14" s="75">
        <v>613825.5</v>
      </c>
      <c r="M14" s="75">
        <v>0</v>
      </c>
      <c r="N14" s="75">
        <v>0</v>
      </c>
      <c r="O14" s="75">
        <v>0</v>
      </c>
      <c r="P14" s="76"/>
      <c r="Q14" s="96">
        <v>5613340.6000000006</v>
      </c>
    </row>
    <row r="15" spans="2:22" s="1" customFormat="1">
      <c r="B15" s="56" t="s">
        <v>114</v>
      </c>
      <c r="D15" s="90">
        <v>2709178.8</v>
      </c>
      <c r="E15" s="16">
        <v>2448955.0999999996</v>
      </c>
      <c r="F15" s="16">
        <v>2808621.9</v>
      </c>
      <c r="G15" s="16">
        <v>2733388.5</v>
      </c>
      <c r="H15" s="16">
        <v>2756267.1</v>
      </c>
      <c r="I15" s="16">
        <v>2642541.6999999997</v>
      </c>
      <c r="J15" s="16">
        <v>2743586.3000000003</v>
      </c>
      <c r="K15" s="16">
        <v>2746414.5</v>
      </c>
      <c r="L15" s="16">
        <v>2636658.4000000004</v>
      </c>
      <c r="M15" s="16">
        <v>0</v>
      </c>
      <c r="N15" s="16">
        <v>0</v>
      </c>
      <c r="O15" s="16">
        <v>0</v>
      </c>
      <c r="P15" s="8"/>
      <c r="Q15" s="91">
        <v>24225612.300000001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414554.2</v>
      </c>
      <c r="E17" s="16">
        <v>358190.4</v>
      </c>
      <c r="F17" s="16">
        <v>394239.8</v>
      </c>
      <c r="G17" s="16">
        <v>421093.4</v>
      </c>
      <c r="H17" s="16">
        <v>442105.1</v>
      </c>
      <c r="I17" s="16">
        <v>386714.1</v>
      </c>
      <c r="J17" s="16">
        <v>421275.9</v>
      </c>
      <c r="K17" s="16">
        <v>437192.7</v>
      </c>
      <c r="L17" s="16">
        <v>426853.5</v>
      </c>
      <c r="M17" s="16">
        <v>0</v>
      </c>
      <c r="N17" s="16">
        <v>0</v>
      </c>
      <c r="O17" s="16">
        <v>0</v>
      </c>
      <c r="P17" s="8"/>
      <c r="Q17" s="91">
        <v>3702219.1000000006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9632904.5999999996</v>
      </c>
      <c r="E21" s="16">
        <v>8586573.8000000007</v>
      </c>
      <c r="F21" s="16">
        <v>9674675.1999999993</v>
      </c>
      <c r="G21" s="16">
        <v>9111057.1999999993</v>
      </c>
      <c r="H21" s="16">
        <v>8858743.1999999993</v>
      </c>
      <c r="I21" s="16">
        <v>8756491.1999999993</v>
      </c>
      <c r="J21" s="16">
        <v>9732681.4000000004</v>
      </c>
      <c r="K21" s="16">
        <v>9668690.4000000004</v>
      </c>
      <c r="L21" s="16">
        <v>9193391.6999999993</v>
      </c>
      <c r="M21" s="16">
        <v>0</v>
      </c>
      <c r="N21" s="16">
        <v>0</v>
      </c>
      <c r="O21" s="16">
        <v>0</v>
      </c>
      <c r="P21" s="8"/>
      <c r="Q21" s="91">
        <v>83215208.700000003</v>
      </c>
    </row>
    <row r="22" spans="2:17">
      <c r="B22" s="77" t="s">
        <v>60</v>
      </c>
      <c r="C22" s="18"/>
      <c r="D22" s="90">
        <v>8942975.4000000004</v>
      </c>
      <c r="E22" s="16">
        <v>7374643.2999999998</v>
      </c>
      <c r="F22" s="16">
        <v>8814790.6999999993</v>
      </c>
      <c r="G22" s="16">
        <v>7802331.9000000004</v>
      </c>
      <c r="H22" s="16">
        <v>6619318</v>
      </c>
      <c r="I22" s="16">
        <v>8448607.8000000007</v>
      </c>
      <c r="J22" s="16">
        <v>9342586.8000000007</v>
      </c>
      <c r="K22" s="16">
        <v>9088365.5</v>
      </c>
      <c r="L22" s="16">
        <v>8879617.8000000007</v>
      </c>
      <c r="M22" s="16">
        <v>0</v>
      </c>
      <c r="N22" s="16">
        <v>0</v>
      </c>
      <c r="O22" s="16">
        <v>0</v>
      </c>
      <c r="P22" s="8"/>
      <c r="Q22" s="91">
        <v>75313237.199999988</v>
      </c>
    </row>
    <row r="23" spans="2:17">
      <c r="B23" s="77" t="s">
        <v>61</v>
      </c>
      <c r="C23" s="17"/>
      <c r="D23" s="90">
        <v>-8085028.2999999998</v>
      </c>
      <c r="E23" s="16">
        <v>-6874941.5999999996</v>
      </c>
      <c r="F23" s="16">
        <v>-7772361</v>
      </c>
      <c r="G23" s="16">
        <v>-6629495.7999999998</v>
      </c>
      <c r="H23" s="16">
        <v>-5503172.9000000004</v>
      </c>
      <c r="I23" s="16">
        <v>-6572086.0999999996</v>
      </c>
      <c r="J23" s="16">
        <v>-7692217.0999999996</v>
      </c>
      <c r="K23" s="16">
        <v>-7791409.0999999996</v>
      </c>
      <c r="L23" s="16">
        <v>-7285570.7999999998</v>
      </c>
      <c r="M23" s="16">
        <v>0</v>
      </c>
      <c r="N23" s="16">
        <v>0</v>
      </c>
      <c r="O23" s="16">
        <v>0</v>
      </c>
      <c r="P23" s="8"/>
      <c r="Q23" s="91">
        <v>-64206282.700000003</v>
      </c>
    </row>
    <row r="24" spans="2:17">
      <c r="B24" s="54" t="s">
        <v>123</v>
      </c>
      <c r="C24" s="17"/>
      <c r="D24" s="90">
        <v>10490851.699999999</v>
      </c>
      <c r="E24" s="16">
        <v>9086275.5000000019</v>
      </c>
      <c r="F24" s="16">
        <v>10717104.899999999</v>
      </c>
      <c r="G24" s="16">
        <v>10283893.300000001</v>
      </c>
      <c r="H24" s="16">
        <v>9974888.2999999989</v>
      </c>
      <c r="I24" s="16">
        <v>10633012.9</v>
      </c>
      <c r="J24" s="16">
        <v>11383051.100000003</v>
      </c>
      <c r="K24" s="16">
        <v>10965646.799999999</v>
      </c>
      <c r="L24" s="16">
        <v>10787438.699999999</v>
      </c>
      <c r="M24" s="16">
        <v>0</v>
      </c>
      <c r="N24" s="16">
        <v>0</v>
      </c>
      <c r="O24" s="16">
        <v>0</v>
      </c>
      <c r="P24" s="8"/>
      <c r="Q24" s="91">
        <v>94322163.199999973</v>
      </c>
    </row>
    <row r="25" spans="2:17">
      <c r="B25" s="54" t="s">
        <v>28</v>
      </c>
      <c r="D25" s="95">
        <v>7041567.2000000002</v>
      </c>
      <c r="E25" s="42">
        <v>5987292.2000000002</v>
      </c>
      <c r="F25" s="42">
        <v>6742676.0999999996</v>
      </c>
      <c r="G25" s="42">
        <v>5647824.0999999996</v>
      </c>
      <c r="H25" s="42">
        <v>4600579.5999999996</v>
      </c>
      <c r="I25" s="42">
        <v>5698414.5</v>
      </c>
      <c r="J25" s="42">
        <v>6714940.2999999998</v>
      </c>
      <c r="K25" s="42">
        <v>6697996.7000000002</v>
      </c>
      <c r="L25" s="42">
        <v>6241019.2000000002</v>
      </c>
      <c r="M25" s="42">
        <v>0</v>
      </c>
      <c r="N25" s="42">
        <v>0</v>
      </c>
      <c r="O25" s="42">
        <v>0</v>
      </c>
      <c r="P25" s="8"/>
      <c r="Q25" s="98">
        <v>55372309.900000006</v>
      </c>
    </row>
    <row r="26" spans="2:17">
      <c r="B26" s="56" t="s">
        <v>46</v>
      </c>
      <c r="D26" s="90">
        <v>17532418.899999999</v>
      </c>
      <c r="E26" s="16">
        <v>15073567.700000003</v>
      </c>
      <c r="F26" s="16">
        <v>17459781</v>
      </c>
      <c r="G26" s="16">
        <v>15931717.4</v>
      </c>
      <c r="H26" s="16">
        <v>14575467.899999999</v>
      </c>
      <c r="I26" s="16">
        <v>16331427.4</v>
      </c>
      <c r="J26" s="16">
        <v>18097991.400000002</v>
      </c>
      <c r="K26" s="16">
        <v>17663643.5</v>
      </c>
      <c r="L26" s="16">
        <v>17028457.899999999</v>
      </c>
      <c r="M26" s="16">
        <v>0</v>
      </c>
      <c r="N26" s="16">
        <v>0</v>
      </c>
      <c r="O26" s="16">
        <v>0</v>
      </c>
      <c r="P26" s="8"/>
      <c r="Q26" s="91">
        <v>149694473.09999996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20656151.899999999</v>
      </c>
      <c r="E28" s="16">
        <v>17880713.200000003</v>
      </c>
      <c r="F28" s="16">
        <v>20662642.699999999</v>
      </c>
      <c r="G28" s="16">
        <v>19086199.299999997</v>
      </c>
      <c r="H28" s="16">
        <v>17773840.100000001</v>
      </c>
      <c r="I28" s="16">
        <v>19360683.200000003</v>
      </c>
      <c r="J28" s="16">
        <v>21262853.600000001</v>
      </c>
      <c r="K28" s="16">
        <v>20847250.699999999</v>
      </c>
      <c r="L28" s="16">
        <v>20091969.799999997</v>
      </c>
      <c r="M28" s="16">
        <v>0</v>
      </c>
      <c r="N28" s="16">
        <v>0</v>
      </c>
      <c r="O28" s="16">
        <v>0</v>
      </c>
      <c r="P28" s="8"/>
      <c r="Q28" s="90">
        <v>177622304.49999997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1243178.2</v>
      </c>
      <c r="E31" s="16">
        <v>1071663.1000000001</v>
      </c>
      <c r="F31" s="16">
        <v>1273290.8999999999</v>
      </c>
      <c r="G31" s="16">
        <v>1190294.5</v>
      </c>
      <c r="H31" s="16">
        <v>1206878.8</v>
      </c>
      <c r="I31" s="16">
        <v>1127290.7</v>
      </c>
      <c r="J31" s="16">
        <v>1240310.2</v>
      </c>
      <c r="K31" s="16">
        <v>1269226.3999999999</v>
      </c>
      <c r="L31" s="16">
        <v>1267545.6000000001</v>
      </c>
      <c r="M31" s="16">
        <v>0</v>
      </c>
      <c r="N31" s="16">
        <v>0</v>
      </c>
      <c r="O31" s="16">
        <v>0</v>
      </c>
      <c r="P31" s="8"/>
      <c r="Q31" s="91">
        <v>10889678.399999999</v>
      </c>
    </row>
    <row r="32" spans="2:17">
      <c r="B32" s="55" t="s">
        <v>48</v>
      </c>
      <c r="D32" s="90">
        <v>392640.5</v>
      </c>
      <c r="E32" s="16">
        <v>341167.9</v>
      </c>
      <c r="F32" s="16">
        <v>384891.6</v>
      </c>
      <c r="G32" s="16">
        <v>373030.6</v>
      </c>
      <c r="H32" s="16">
        <v>363016.5</v>
      </c>
      <c r="I32" s="16">
        <v>325942.40000000002</v>
      </c>
      <c r="J32" s="16">
        <v>395262.9</v>
      </c>
      <c r="K32" s="16">
        <v>399002.2</v>
      </c>
      <c r="L32" s="16">
        <v>360140.3</v>
      </c>
      <c r="M32" s="16">
        <v>0</v>
      </c>
      <c r="N32" s="16">
        <v>0</v>
      </c>
      <c r="O32" s="16">
        <v>0</v>
      </c>
      <c r="P32" s="8"/>
      <c r="Q32" s="90">
        <v>3335094.9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11063.1</v>
      </c>
      <c r="E34" s="16">
        <v>9839.6</v>
      </c>
      <c r="F34" s="16">
        <v>10997.5</v>
      </c>
      <c r="G34" s="16">
        <v>11388.1</v>
      </c>
      <c r="H34" s="16">
        <v>10958.3</v>
      </c>
      <c r="I34" s="16">
        <v>9398.4</v>
      </c>
      <c r="J34" s="16">
        <v>10289.299999999999</v>
      </c>
      <c r="K34" s="16">
        <v>10489.1</v>
      </c>
      <c r="L34" s="16">
        <v>9211.2000000000007</v>
      </c>
      <c r="M34" s="16">
        <v>0</v>
      </c>
      <c r="N34" s="16">
        <v>0</v>
      </c>
      <c r="O34" s="16">
        <v>0</v>
      </c>
      <c r="P34" s="8"/>
      <c r="Q34" s="91">
        <v>93634.6</v>
      </c>
    </row>
    <row r="35" spans="2:17">
      <c r="B35" s="53" t="s">
        <v>51</v>
      </c>
      <c r="C35" s="18"/>
      <c r="D35" s="90">
        <v>7685.1</v>
      </c>
      <c r="E35" s="16">
        <v>6828.7</v>
      </c>
      <c r="F35" s="16">
        <v>11412.3</v>
      </c>
      <c r="G35" s="16">
        <v>10763.4</v>
      </c>
      <c r="H35" s="16">
        <v>7623.8</v>
      </c>
      <c r="I35" s="16">
        <v>10400.1</v>
      </c>
      <c r="J35" s="16">
        <v>8522.5</v>
      </c>
      <c r="K35" s="16">
        <v>10253.1</v>
      </c>
      <c r="L35" s="16">
        <v>13283</v>
      </c>
      <c r="M35" s="16">
        <v>0</v>
      </c>
      <c r="N35" s="16">
        <v>0</v>
      </c>
      <c r="O35" s="16">
        <v>0</v>
      </c>
      <c r="P35" s="8"/>
      <c r="Q35" s="91">
        <v>86772</v>
      </c>
    </row>
    <row r="36" spans="2:17">
      <c r="B36" s="53" t="s">
        <v>52</v>
      </c>
      <c r="C36" s="17"/>
      <c r="D36" s="90">
        <v>564268.30000000005</v>
      </c>
      <c r="E36" s="16">
        <v>466259.8</v>
      </c>
      <c r="F36" s="16">
        <v>574571</v>
      </c>
      <c r="G36" s="16">
        <v>424637.2</v>
      </c>
      <c r="H36" s="16">
        <v>298511.09999999998</v>
      </c>
      <c r="I36" s="16">
        <v>346895.6</v>
      </c>
      <c r="J36" s="16">
        <v>447301</v>
      </c>
      <c r="K36" s="16">
        <v>359056.3</v>
      </c>
      <c r="L36" s="16">
        <v>459452.4</v>
      </c>
      <c r="M36" s="16">
        <v>0</v>
      </c>
      <c r="N36" s="16">
        <v>0</v>
      </c>
      <c r="O36" s="16">
        <v>0</v>
      </c>
      <c r="P36" s="8"/>
      <c r="Q36" s="91">
        <v>3940952.6999999997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280568.8</v>
      </c>
      <c r="E38" s="16">
        <v>244717.5</v>
      </c>
      <c r="F38" s="16">
        <v>291235.7</v>
      </c>
      <c r="G38" s="16">
        <v>270068.3</v>
      </c>
      <c r="H38" s="16">
        <v>214731.2</v>
      </c>
      <c r="I38" s="16">
        <v>213097.8</v>
      </c>
      <c r="J38" s="16">
        <v>240844.7</v>
      </c>
      <c r="K38" s="16">
        <v>245963.3</v>
      </c>
      <c r="L38" s="16">
        <v>245857.6</v>
      </c>
      <c r="M38" s="16">
        <v>0</v>
      </c>
      <c r="N38" s="16">
        <v>0</v>
      </c>
      <c r="O38" s="16">
        <v>0</v>
      </c>
      <c r="P38" s="8"/>
      <c r="Q38" s="91">
        <v>2247084.9</v>
      </c>
    </row>
    <row r="39" spans="2:17">
      <c r="B39" s="53" t="s">
        <v>35</v>
      </c>
      <c r="C39" s="17"/>
      <c r="D39" s="90">
        <v>23.9</v>
      </c>
      <c r="E39" s="16">
        <v>72.8</v>
      </c>
      <c r="F39" s="16">
        <v>51.9</v>
      </c>
      <c r="G39" s="16">
        <v>107.5</v>
      </c>
      <c r="H39" s="16">
        <v>82.2</v>
      </c>
      <c r="I39" s="16">
        <v>26.5</v>
      </c>
      <c r="J39" s="16">
        <v>46.2</v>
      </c>
      <c r="K39" s="16">
        <v>107.8</v>
      </c>
      <c r="L39" s="16">
        <v>209.4</v>
      </c>
      <c r="M39" s="16">
        <v>0</v>
      </c>
      <c r="N39" s="16">
        <v>0</v>
      </c>
      <c r="O39" s="16">
        <v>0</v>
      </c>
      <c r="P39" s="8"/>
      <c r="Q39" s="91">
        <v>728.19999999999993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5" t="s">
        <v>42</v>
      </c>
      <c r="C41" s="106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7" t="s">
        <v>102</v>
      </c>
      <c r="C42" s="108"/>
      <c r="D42" s="78">
        <v>486366.8</v>
      </c>
      <c r="E42" s="78">
        <v>404814.4</v>
      </c>
      <c r="F42" s="78">
        <v>424953.5</v>
      </c>
      <c r="G42" s="78">
        <v>486286.3</v>
      </c>
      <c r="H42" s="78">
        <v>527931.4</v>
      </c>
      <c r="I42" s="78">
        <v>459063.2</v>
      </c>
      <c r="J42" s="78">
        <v>434041.8</v>
      </c>
      <c r="K42" s="78">
        <v>453726.7</v>
      </c>
      <c r="L42" s="78">
        <v>261476.4</v>
      </c>
      <c r="M42" s="78">
        <v>0</v>
      </c>
      <c r="N42" s="78">
        <v>0</v>
      </c>
      <c r="O42" s="78">
        <v>0</v>
      </c>
      <c r="P42" s="79"/>
      <c r="Q42" s="79">
        <f t="shared" ref="Q42:Q46" si="0">SUM(D42:O42)</f>
        <v>3938660.5</v>
      </c>
    </row>
    <row r="43" spans="2:17">
      <c r="B43" s="107" t="s">
        <v>103</v>
      </c>
      <c r="C43" s="108"/>
      <c r="D43" s="78">
        <f>545525.1+612469.9</f>
        <v>1157995</v>
      </c>
      <c r="E43" s="78">
        <f>550137+548662.1</f>
        <v>1098799.1000000001</v>
      </c>
      <c r="F43" s="78">
        <f>566495.6+582720</f>
        <v>1149215.6000000001</v>
      </c>
      <c r="G43" s="78">
        <f>545193.8+630875.2</f>
        <v>1176069</v>
      </c>
      <c r="H43" s="78">
        <f>573030.5+687839.2</f>
        <v>1260869.7</v>
      </c>
      <c r="I43" s="78">
        <f>500782.5+608790.2</f>
        <v>1109572.7</v>
      </c>
      <c r="J43" s="78">
        <f>521888+728810.7</f>
        <v>1250698.7</v>
      </c>
      <c r="K43" s="78">
        <f>508726.8+556568.3</f>
        <v>1065295.1000000001</v>
      </c>
      <c r="L43" s="78">
        <f>493931+540104.7</f>
        <v>1034035.7</v>
      </c>
      <c r="M43" s="78">
        <v>0</v>
      </c>
      <c r="N43" s="78">
        <v>0</v>
      </c>
      <c r="O43" s="78">
        <v>0</v>
      </c>
      <c r="P43" s="79"/>
      <c r="Q43" s="79">
        <f t="shared" si="0"/>
        <v>10302550.6</v>
      </c>
    </row>
    <row r="44" spans="2:17">
      <c r="B44" s="107" t="s">
        <v>124</v>
      </c>
      <c r="C44" s="108"/>
      <c r="D44" s="78">
        <v>911629.3</v>
      </c>
      <c r="E44" s="78">
        <v>799705.2</v>
      </c>
      <c r="F44" s="78">
        <v>910397.8</v>
      </c>
      <c r="G44" s="78">
        <v>891385.3</v>
      </c>
      <c r="H44" s="78">
        <v>769001</v>
      </c>
      <c r="I44" s="78">
        <v>732303.1</v>
      </c>
      <c r="J44" s="78">
        <v>784413</v>
      </c>
      <c r="K44" s="78">
        <v>835101.3</v>
      </c>
      <c r="L44" s="78">
        <v>729109.6</v>
      </c>
      <c r="M44" s="78">
        <v>0</v>
      </c>
      <c r="N44" s="78">
        <v>0</v>
      </c>
      <c r="O44" s="78">
        <v>0</v>
      </c>
      <c r="P44" s="79"/>
      <c r="Q44" s="79">
        <f t="shared" si="0"/>
        <v>7363045.5999999987</v>
      </c>
    </row>
    <row r="45" spans="2:17">
      <c r="B45" s="107" t="s">
        <v>104</v>
      </c>
      <c r="C45" s="106"/>
      <c r="D45" s="80">
        <v>295695.40000000002</v>
      </c>
      <c r="E45" s="80">
        <v>244069</v>
      </c>
      <c r="F45" s="80">
        <v>335457.90000000002</v>
      </c>
      <c r="G45" s="80">
        <v>257566.2</v>
      </c>
      <c r="H45" s="80">
        <v>320994.2</v>
      </c>
      <c r="I45" s="80">
        <v>353975.6</v>
      </c>
      <c r="J45" s="80">
        <v>345885.9</v>
      </c>
      <c r="K45" s="80">
        <v>258939.8</v>
      </c>
      <c r="L45" s="80">
        <v>310743.59999999998</v>
      </c>
      <c r="M45" s="80">
        <v>0</v>
      </c>
      <c r="N45" s="80">
        <v>0</v>
      </c>
      <c r="O45" s="80">
        <v>0</v>
      </c>
      <c r="P45" s="80"/>
      <c r="Q45" s="80">
        <f t="shared" si="0"/>
        <v>2723327.5999999996</v>
      </c>
    </row>
    <row r="46" spans="2:17">
      <c r="B46" s="105" t="s">
        <v>101</v>
      </c>
      <c r="C46" s="106"/>
      <c r="D46" s="89">
        <f t="shared" ref="D46:L46" si="1">SUM(D42:D45)</f>
        <v>2851686.5</v>
      </c>
      <c r="E46" s="89">
        <f t="shared" si="1"/>
        <v>2547387.7000000002</v>
      </c>
      <c r="F46" s="89">
        <f t="shared" si="1"/>
        <v>2820024.8000000003</v>
      </c>
      <c r="G46" s="89">
        <f t="shared" si="1"/>
        <v>2811306.8000000003</v>
      </c>
      <c r="H46" s="89">
        <f t="shared" si="1"/>
        <v>2878796.3000000003</v>
      </c>
      <c r="I46" s="89">
        <f t="shared" si="1"/>
        <v>2654914.6</v>
      </c>
      <c r="J46" s="89">
        <f t="shared" si="1"/>
        <v>2815039.4</v>
      </c>
      <c r="K46" s="89">
        <f t="shared" si="1"/>
        <v>2613062.9</v>
      </c>
      <c r="L46" s="89">
        <f t="shared" si="1"/>
        <v>2335365.2999999998</v>
      </c>
      <c r="M46" s="89">
        <v>0</v>
      </c>
      <c r="N46" s="89">
        <v>0</v>
      </c>
      <c r="O46" s="89">
        <v>0</v>
      </c>
      <c r="P46" s="79"/>
      <c r="Q46" s="79">
        <f t="shared" si="0"/>
        <v>24327584.300000001</v>
      </c>
    </row>
    <row r="47" spans="2:17">
      <c r="B47" s="109"/>
      <c r="C47" s="106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9" t="s">
        <v>58</v>
      </c>
      <c r="C48" s="110"/>
      <c r="D48" s="89">
        <f t="shared" ref="D48:L48" si="2">D31+D32+D34+D35+D36+D38+D39+D46</f>
        <v>5351114.4000000004</v>
      </c>
      <c r="E48" s="89">
        <f t="shared" si="2"/>
        <v>4687937.0999999996</v>
      </c>
      <c r="F48" s="89">
        <f t="shared" si="2"/>
        <v>5366475.7</v>
      </c>
      <c r="G48" s="89">
        <f t="shared" si="2"/>
        <v>5091596.4000000004</v>
      </c>
      <c r="H48" s="89">
        <f t="shared" si="2"/>
        <v>4980598.2000000011</v>
      </c>
      <c r="I48" s="89">
        <f t="shared" si="2"/>
        <v>4687966.1000000006</v>
      </c>
      <c r="J48" s="89">
        <f t="shared" si="2"/>
        <v>5157616.2000000011</v>
      </c>
      <c r="K48" s="89">
        <f t="shared" si="2"/>
        <v>4907161.0999999996</v>
      </c>
      <c r="L48" s="89">
        <f t="shared" si="2"/>
        <v>4691064.8</v>
      </c>
      <c r="M48" s="89">
        <v>0</v>
      </c>
      <c r="N48" s="89">
        <v>0</v>
      </c>
      <c r="O48" s="89">
        <v>0</v>
      </c>
      <c r="P48" s="79"/>
      <c r="Q48" s="79">
        <f>SUM(D48:O48)</f>
        <v>44921530.000000007</v>
      </c>
    </row>
    <row r="49" spans="2:17">
      <c r="B49" s="109"/>
      <c r="C49" s="110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11" t="s">
        <v>54</v>
      </c>
      <c r="C50" s="110"/>
      <c r="D50" s="78">
        <v>222824.7</v>
      </c>
      <c r="E50" s="78">
        <v>174768.1</v>
      </c>
      <c r="F50" s="78">
        <v>215046.8</v>
      </c>
      <c r="G50" s="78">
        <v>189681.1</v>
      </c>
      <c r="H50" s="78">
        <v>172020.8</v>
      </c>
      <c r="I50" s="78">
        <v>248140.7</v>
      </c>
      <c r="J50" s="78">
        <v>243337.3</v>
      </c>
      <c r="K50" s="78">
        <v>251478.39999999999</v>
      </c>
      <c r="L50" s="78">
        <v>231730.9</v>
      </c>
      <c r="M50" s="78">
        <v>0</v>
      </c>
      <c r="N50" s="78">
        <v>0</v>
      </c>
      <c r="O50" s="78">
        <v>0</v>
      </c>
      <c r="P50" s="79"/>
      <c r="Q50" s="79">
        <f t="shared" ref="Q50:Q52" si="3">SUM(D50:O50)</f>
        <v>1949028.7999999998</v>
      </c>
    </row>
    <row r="51" spans="2:17">
      <c r="B51" s="109" t="s">
        <v>22</v>
      </c>
      <c r="C51" s="110"/>
      <c r="D51" s="78">
        <v>124236.8</v>
      </c>
      <c r="E51" s="78">
        <v>116058.3</v>
      </c>
      <c r="F51" s="78">
        <v>121794.8</v>
      </c>
      <c r="G51" s="78">
        <v>106269.2</v>
      </c>
      <c r="H51" s="78">
        <v>116208.9</v>
      </c>
      <c r="I51" s="78">
        <v>110066.6</v>
      </c>
      <c r="J51" s="78">
        <v>114577.9</v>
      </c>
      <c r="K51" s="78">
        <v>109729.4</v>
      </c>
      <c r="L51" s="78">
        <v>114977.7</v>
      </c>
      <c r="M51" s="78">
        <v>0</v>
      </c>
      <c r="N51" s="78">
        <v>0</v>
      </c>
      <c r="O51" s="78">
        <v>0</v>
      </c>
      <c r="P51" s="79"/>
      <c r="Q51" s="79">
        <f t="shared" si="3"/>
        <v>1033919.6</v>
      </c>
    </row>
    <row r="52" spans="2:17">
      <c r="B52" s="109" t="s">
        <v>17</v>
      </c>
      <c r="C52" s="110"/>
      <c r="D52" s="78">
        <v>356833.3</v>
      </c>
      <c r="E52" s="78">
        <v>315751.2</v>
      </c>
      <c r="F52" s="78">
        <v>370289</v>
      </c>
      <c r="G52" s="78">
        <v>346980.5</v>
      </c>
      <c r="H52" s="78">
        <v>340063.4</v>
      </c>
      <c r="I52" s="78">
        <v>320348.40000000002</v>
      </c>
      <c r="J52" s="78">
        <v>360221.1</v>
      </c>
      <c r="K52" s="78">
        <v>360029.7</v>
      </c>
      <c r="L52" s="78">
        <v>355535.7</v>
      </c>
      <c r="M52" s="78">
        <v>0</v>
      </c>
      <c r="N52" s="78">
        <v>0</v>
      </c>
      <c r="O52" s="78">
        <v>0</v>
      </c>
      <c r="P52" s="78"/>
      <c r="Q52" s="78">
        <f t="shared" si="3"/>
        <v>3126052.3000000003</v>
      </c>
    </row>
    <row r="53" spans="2:17" ht="14.25" customHeight="1">
      <c r="B53" s="109"/>
      <c r="C53" s="103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3"/>
    </row>
    <row r="54" spans="2:17" s="1" customFormat="1" ht="15" customHeight="1">
      <c r="B54" s="109" t="s">
        <v>43</v>
      </c>
      <c r="C54" s="114"/>
      <c r="D54" s="83">
        <v>9473887.5</v>
      </c>
      <c r="E54" s="83">
        <v>8863594.4000000004</v>
      </c>
      <c r="F54" s="83">
        <v>9169361.4000000004</v>
      </c>
      <c r="G54" s="83">
        <v>10019759.199999999</v>
      </c>
      <c r="H54" s="83">
        <v>9475705.3000000007</v>
      </c>
      <c r="I54" s="83">
        <v>9440385.8000000007</v>
      </c>
      <c r="J54" s="83">
        <v>9658787.3000000007</v>
      </c>
      <c r="K54" s="83">
        <v>9453248.9000000004</v>
      </c>
      <c r="L54" s="83">
        <v>9897857.0999999996</v>
      </c>
      <c r="M54" s="83">
        <v>0</v>
      </c>
      <c r="N54" s="83">
        <v>0</v>
      </c>
      <c r="O54" s="83">
        <v>0</v>
      </c>
      <c r="P54" s="83"/>
      <c r="Q54" s="84">
        <v>9897857.0999999996</v>
      </c>
    </row>
    <row r="55" spans="2:17">
      <c r="B55" s="109" t="s">
        <v>50</v>
      </c>
      <c r="C55" s="110"/>
      <c r="D55" s="78">
        <v>-242925.5</v>
      </c>
      <c r="E55" s="78">
        <v>-139740.79999999999</v>
      </c>
      <c r="F55" s="78">
        <v>-141888.6</v>
      </c>
      <c r="G55" s="78">
        <v>-87483.9</v>
      </c>
      <c r="H55" s="78">
        <v>-338287</v>
      </c>
      <c r="I55" s="78">
        <v>-312058.5</v>
      </c>
      <c r="J55" s="78">
        <v>-289314.09999999998</v>
      </c>
      <c r="K55" s="78">
        <v>-314447.40000000002</v>
      </c>
      <c r="L55" s="78">
        <v>-353196.1</v>
      </c>
      <c r="M55" s="78">
        <v>0</v>
      </c>
      <c r="N55" s="78">
        <v>0</v>
      </c>
      <c r="O55" s="78">
        <v>0</v>
      </c>
      <c r="P55" s="79"/>
      <c r="Q55" s="79">
        <f>SUM(D55:O55)</f>
        <v>-2219341.9</v>
      </c>
    </row>
    <row r="56" spans="2:17" ht="15" thickBot="1">
      <c r="B56" s="109"/>
      <c r="C56" s="10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" thickTop="1">
      <c r="B57" s="115" t="s">
        <v>31</v>
      </c>
      <c r="C57" s="110"/>
      <c r="D57" s="89">
        <f t="shared" ref="D57:L57" si="4">D7-D54+(D28+D48)-(D50+D51+D52)+D55</f>
        <v>25093178.399999995</v>
      </c>
      <c r="E57" s="89">
        <f t="shared" si="4"/>
        <v>22432525.300000001</v>
      </c>
      <c r="F57" s="89">
        <f t="shared" si="4"/>
        <v>24874332.199999996</v>
      </c>
      <c r="G57" s="89">
        <f t="shared" si="4"/>
        <v>22594462.099999998</v>
      </c>
      <c r="H57" s="89">
        <f t="shared" si="4"/>
        <v>22331835.400000002</v>
      </c>
      <c r="I57" s="89">
        <f t="shared" si="4"/>
        <v>23092989.300000004</v>
      </c>
      <c r="J57" s="89">
        <f t="shared" si="4"/>
        <v>25194617.900000002</v>
      </c>
      <c r="K57" s="89">
        <f t="shared" si="4"/>
        <v>24924165.299999997</v>
      </c>
      <c r="L57" s="89">
        <f t="shared" si="4"/>
        <v>23282833.799999993</v>
      </c>
      <c r="M57" s="89">
        <v>0</v>
      </c>
      <c r="N57" s="89">
        <v>0</v>
      </c>
      <c r="O57" s="89">
        <v>0</v>
      </c>
      <c r="P57" s="79"/>
      <c r="Q57" s="79">
        <f>SUM(D57:O57)</f>
        <v>213820939.69999996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129</v>
      </c>
      <c r="C59" s="4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2" t="s">
        <v>13</v>
      </c>
    </row>
    <row r="60" spans="2:17" ht="15.6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127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68129.5</v>
      </c>
      <c r="E63" s="90">
        <v>31851.1</v>
      </c>
      <c r="F63" s="90">
        <v>69757.399999999994</v>
      </c>
      <c r="G63" s="90">
        <v>38272</v>
      </c>
      <c r="H63" s="90">
        <v>39155.9</v>
      </c>
      <c r="I63" s="90">
        <v>60933.7</v>
      </c>
      <c r="J63" s="90">
        <v>72597</v>
      </c>
      <c r="K63" s="90">
        <v>50432.9</v>
      </c>
      <c r="L63" s="90">
        <v>29883.9</v>
      </c>
      <c r="M63" s="90">
        <v>0</v>
      </c>
      <c r="N63" s="90">
        <v>0</v>
      </c>
      <c r="O63" s="90">
        <v>0</v>
      </c>
      <c r="P63" s="91"/>
      <c r="Q63" s="91">
        <v>461013.4</v>
      </c>
    </row>
    <row r="64" spans="2:17">
      <c r="B64" s="53" t="s">
        <v>32</v>
      </c>
      <c r="D64" s="90">
        <v>2519528.2000000002</v>
      </c>
      <c r="E64" s="90">
        <v>2335461.5</v>
      </c>
      <c r="F64" s="90">
        <v>2517299.4</v>
      </c>
      <c r="G64" s="90">
        <v>2118283.4</v>
      </c>
      <c r="H64" s="90">
        <v>1988167.4</v>
      </c>
      <c r="I64" s="90">
        <v>2219657.5</v>
      </c>
      <c r="J64" s="90">
        <v>2567045.2000000002</v>
      </c>
      <c r="K64" s="90">
        <v>2556409</v>
      </c>
      <c r="L64" s="90">
        <v>2204194.6</v>
      </c>
      <c r="M64" s="90">
        <v>0</v>
      </c>
      <c r="N64" s="90">
        <v>0</v>
      </c>
      <c r="O64" s="90">
        <v>0</v>
      </c>
      <c r="P64" s="91"/>
      <c r="Q64" s="91">
        <v>21026046.200000003</v>
      </c>
    </row>
    <row r="65" spans="2:17">
      <c r="B65" s="53" t="s">
        <v>53</v>
      </c>
      <c r="D65" s="90">
        <v>11309</v>
      </c>
      <c r="E65" s="90">
        <v>8492.7000000000007</v>
      </c>
      <c r="F65" s="90">
        <v>14432.6</v>
      </c>
      <c r="G65" s="90">
        <v>15261.8</v>
      </c>
      <c r="H65" s="90">
        <v>11089.6</v>
      </c>
      <c r="I65" s="90">
        <v>11993</v>
      </c>
      <c r="J65" s="90">
        <v>9755.1</v>
      </c>
      <c r="K65" s="90">
        <v>12737.5</v>
      </c>
      <c r="L65" s="90">
        <v>12328.8</v>
      </c>
      <c r="M65" s="90">
        <v>0</v>
      </c>
      <c r="N65" s="90">
        <v>0</v>
      </c>
      <c r="O65" s="90">
        <v>0</v>
      </c>
      <c r="P65" s="91"/>
      <c r="Q65" s="91">
        <v>107400.10000000002</v>
      </c>
    </row>
    <row r="66" spans="2:17">
      <c r="B66" s="53" t="s">
        <v>39</v>
      </c>
      <c r="D66" s="90">
        <v>15763.6</v>
      </c>
      <c r="E66" s="90">
        <v>16730.7</v>
      </c>
      <c r="F66" s="90">
        <v>15053.5</v>
      </c>
      <c r="G66" s="90">
        <v>18091.8</v>
      </c>
      <c r="H66" s="90">
        <v>19963.8</v>
      </c>
      <c r="I66" s="90">
        <v>13665.6</v>
      </c>
      <c r="J66" s="90">
        <v>15916.7</v>
      </c>
      <c r="K66" s="90">
        <v>20032.7</v>
      </c>
      <c r="L66" s="90">
        <v>21388</v>
      </c>
      <c r="M66" s="90">
        <v>0</v>
      </c>
      <c r="N66" s="90">
        <v>0</v>
      </c>
      <c r="O66" s="90">
        <v>0</v>
      </c>
      <c r="P66" s="91"/>
      <c r="Q66" s="91">
        <v>156606.40000000002</v>
      </c>
    </row>
    <row r="67" spans="2:17" s="1" customFormat="1">
      <c r="B67" s="53" t="s">
        <v>44</v>
      </c>
      <c r="C67" s="24"/>
      <c r="D67" s="90">
        <v>0</v>
      </c>
      <c r="E67" s="90">
        <v>0</v>
      </c>
      <c r="F67" s="90">
        <v>107.3</v>
      </c>
      <c r="G67" s="90">
        <v>223</v>
      </c>
      <c r="H67" s="90">
        <v>0</v>
      </c>
      <c r="I67" s="90">
        <v>338.9</v>
      </c>
      <c r="J67" s="90">
        <v>0</v>
      </c>
      <c r="K67" s="90">
        <v>216.6</v>
      </c>
      <c r="L67" s="90">
        <v>0</v>
      </c>
      <c r="M67" s="90">
        <v>0</v>
      </c>
      <c r="N67" s="90">
        <v>0</v>
      </c>
      <c r="O67" s="90">
        <v>0</v>
      </c>
      <c r="P67" s="91"/>
      <c r="Q67" s="93">
        <v>885.80000000000007</v>
      </c>
    </row>
    <row r="68" spans="2:17" s="1" customFormat="1">
      <c r="B68" s="53" t="s">
        <v>34</v>
      </c>
      <c r="C68" s="24"/>
      <c r="D68" s="90">
        <v>-10715.4</v>
      </c>
      <c r="E68" s="90">
        <v>20718</v>
      </c>
      <c r="F68" s="90">
        <v>-740.2</v>
      </c>
      <c r="G68" s="90">
        <v>1166.4000000000001</v>
      </c>
      <c r="H68" s="90">
        <v>11802.6</v>
      </c>
      <c r="I68" s="90">
        <v>12868.6</v>
      </c>
      <c r="J68" s="90">
        <v>7326.2</v>
      </c>
      <c r="K68" s="90">
        <v>-8589</v>
      </c>
      <c r="L68" s="90">
        <v>-12098.5</v>
      </c>
      <c r="M68" s="90">
        <v>0</v>
      </c>
      <c r="N68" s="90">
        <v>0</v>
      </c>
      <c r="O68" s="90">
        <v>0</v>
      </c>
      <c r="P68" s="91"/>
      <c r="Q68" s="90">
        <v>21738.699999999997</v>
      </c>
    </row>
    <row r="69" spans="2:17">
      <c r="B69" s="61" t="s">
        <v>33</v>
      </c>
      <c r="C69" s="19"/>
      <c r="D69" s="90">
        <v>347243.9</v>
      </c>
      <c r="E69" s="90">
        <v>276205.40000000002</v>
      </c>
      <c r="F69" s="90">
        <v>341193.9</v>
      </c>
      <c r="G69" s="90">
        <v>312016.59999999998</v>
      </c>
      <c r="H69" s="90">
        <v>175192</v>
      </c>
      <c r="I69" s="90">
        <v>206088.9</v>
      </c>
      <c r="J69" s="90">
        <v>351317.4</v>
      </c>
      <c r="K69" s="90">
        <v>327118</v>
      </c>
      <c r="L69" s="90">
        <v>345715.7</v>
      </c>
      <c r="M69" s="90">
        <v>0</v>
      </c>
      <c r="N69" s="90">
        <v>0</v>
      </c>
      <c r="O69" s="90">
        <v>0</v>
      </c>
      <c r="P69" s="91"/>
      <c r="Q69" s="91">
        <v>2682091.8000000003</v>
      </c>
    </row>
    <row r="70" spans="2:17">
      <c r="B70" s="50" t="s">
        <v>19</v>
      </c>
      <c r="C70" s="19"/>
      <c r="D70" s="90">
        <v>2951258.8000000003</v>
      </c>
      <c r="E70" s="90">
        <v>2689459.4000000004</v>
      </c>
      <c r="F70" s="90">
        <v>2957103.8999999994</v>
      </c>
      <c r="G70" s="90">
        <v>2503314.9999999995</v>
      </c>
      <c r="H70" s="90">
        <v>2245371.2999999998</v>
      </c>
      <c r="I70" s="90">
        <v>2525546.2000000002</v>
      </c>
      <c r="J70" s="90">
        <v>3023957.6000000006</v>
      </c>
      <c r="K70" s="90">
        <v>2958357.7</v>
      </c>
      <c r="L70" s="90">
        <v>2601412.5</v>
      </c>
      <c r="M70" s="90">
        <v>0</v>
      </c>
      <c r="N70" s="90">
        <v>0</v>
      </c>
      <c r="O70" s="90">
        <v>0</v>
      </c>
      <c r="P70" s="91"/>
      <c r="Q70" s="91">
        <v>24455782.400000002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21763599.5</v>
      </c>
      <c r="E72" s="78">
        <v>19591067.100000001</v>
      </c>
      <c r="F72" s="78">
        <v>21577914.399999999</v>
      </c>
      <c r="G72" s="78">
        <v>19669729.300000001</v>
      </c>
      <c r="H72" s="78">
        <v>19906583.100000001</v>
      </c>
      <c r="I72" s="78">
        <v>20283093.100000001</v>
      </c>
      <c r="J72" s="78">
        <v>21727628.600000001</v>
      </c>
      <c r="K72" s="78">
        <v>21920104.800000001</v>
      </c>
      <c r="L72" s="78">
        <v>20416525.699999999</v>
      </c>
      <c r="M72" s="78">
        <v>0</v>
      </c>
      <c r="N72" s="78">
        <v>0</v>
      </c>
      <c r="O72" s="78">
        <v>0</v>
      </c>
      <c r="P72" s="79"/>
      <c r="Q72" s="79">
        <v>186856245.59999999</v>
      </c>
    </row>
    <row r="73" spans="2:17">
      <c r="B73" s="55" t="s">
        <v>115</v>
      </c>
      <c r="C73" s="19"/>
      <c r="D73" s="78">
        <v>702051.59677419357</v>
      </c>
      <c r="E73" s="78">
        <v>699680.96785714291</v>
      </c>
      <c r="F73" s="78">
        <v>696061.7548387096</v>
      </c>
      <c r="G73" s="78">
        <v>655657.64333333331</v>
      </c>
      <c r="H73" s="78">
        <v>642147.84193548397</v>
      </c>
      <c r="I73" s="78">
        <v>676103.10333333339</v>
      </c>
      <c r="J73" s="78">
        <v>700891.2451612904</v>
      </c>
      <c r="K73" s="78">
        <v>707100.15483870974</v>
      </c>
      <c r="L73" s="78">
        <v>680550.85666666669</v>
      </c>
      <c r="M73" s="78">
        <v>0</v>
      </c>
      <c r="N73" s="78">
        <v>0</v>
      </c>
      <c r="O73" s="78">
        <v>0</v>
      </c>
      <c r="P73" s="79"/>
      <c r="Q73" s="79">
        <v>684471.68497098482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06"/>
      <c r="D75" s="89">
        <f t="shared" ref="D75:L75" si="5">D57-(D70+D72)</f>
        <v>378320.09999999404</v>
      </c>
      <c r="E75" s="89">
        <f t="shared" si="5"/>
        <v>151998.80000000075</v>
      </c>
      <c r="F75" s="89">
        <f t="shared" si="5"/>
        <v>339313.89999999851</v>
      </c>
      <c r="G75" s="89">
        <f t="shared" si="5"/>
        <v>421417.79999999702</v>
      </c>
      <c r="H75" s="89">
        <f t="shared" si="5"/>
        <v>179881</v>
      </c>
      <c r="I75" s="89">
        <f t="shared" si="5"/>
        <v>284350.00000000373</v>
      </c>
      <c r="J75" s="89">
        <f t="shared" si="5"/>
        <v>443031.69999999925</v>
      </c>
      <c r="K75" s="89">
        <f t="shared" si="5"/>
        <v>45702.79999999702</v>
      </c>
      <c r="L75" s="89">
        <f t="shared" si="5"/>
        <v>264895.59999999404</v>
      </c>
      <c r="M75" s="89">
        <v>0</v>
      </c>
      <c r="N75" s="89">
        <v>0</v>
      </c>
      <c r="O75" s="89">
        <v>0</v>
      </c>
      <c r="P75" s="79"/>
      <c r="Q75" s="91">
        <f>SUM(D75:O75)</f>
        <v>2508911.6999999844</v>
      </c>
    </row>
    <row r="76" spans="2:17">
      <c r="B76" s="62" t="s">
        <v>45</v>
      </c>
      <c r="C76" s="108"/>
      <c r="D76" s="94">
        <f t="shared" ref="D76:L76" si="6">IF(D57&gt;0,D75/D57,"")</f>
        <v>1.5076611418822659E-2</v>
      </c>
      <c r="E76" s="94">
        <f t="shared" si="6"/>
        <v>6.7758220693949576E-3</v>
      </c>
      <c r="F76" s="94">
        <f t="shared" si="6"/>
        <v>1.3641126011817056E-2</v>
      </c>
      <c r="G76" s="94">
        <f t="shared" si="6"/>
        <v>1.8651375639519963E-2</v>
      </c>
      <c r="H76" s="94">
        <f t="shared" si="6"/>
        <v>8.0549133905939499E-3</v>
      </c>
      <c r="I76" s="94">
        <f t="shared" si="6"/>
        <v>1.231326080422181E-2</v>
      </c>
      <c r="J76" s="94">
        <f t="shared" si="6"/>
        <v>1.7584378606511797E-2</v>
      </c>
      <c r="K76" s="94">
        <f t="shared" si="6"/>
        <v>1.8336742454519439E-3</v>
      </c>
      <c r="L76" s="94">
        <f t="shared" si="6"/>
        <v>1.1377292054543383E-2</v>
      </c>
      <c r="M76" s="94" t="s">
        <v>128</v>
      </c>
      <c r="N76" s="94" t="s">
        <v>128</v>
      </c>
      <c r="O76" s="94" t="s">
        <v>128</v>
      </c>
      <c r="P76" s="94"/>
      <c r="Q76" s="79">
        <f>AVERAGE(D76:O76)</f>
        <v>1.1700939360097503E-2</v>
      </c>
    </row>
    <row r="77" spans="2:17" ht="15" thickBot="1">
      <c r="B77" s="109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" thickTop="1">
      <c r="B78" s="115" t="s">
        <v>36</v>
      </c>
      <c r="C78" s="110"/>
      <c r="D78" s="89">
        <f t="shared" ref="D78:L78" si="7">(D70+D72)+D75</f>
        <v>25093178.399999995</v>
      </c>
      <c r="E78" s="89">
        <f t="shared" si="7"/>
        <v>22432525.300000001</v>
      </c>
      <c r="F78" s="89">
        <f t="shared" si="7"/>
        <v>24874332.199999996</v>
      </c>
      <c r="G78" s="89">
        <f t="shared" si="7"/>
        <v>22594462.099999998</v>
      </c>
      <c r="H78" s="89">
        <f t="shared" si="7"/>
        <v>22331835.400000002</v>
      </c>
      <c r="I78" s="89">
        <f t="shared" si="7"/>
        <v>23092989.300000004</v>
      </c>
      <c r="J78" s="89">
        <f t="shared" si="7"/>
        <v>25194617.900000002</v>
      </c>
      <c r="K78" s="89">
        <f t="shared" si="7"/>
        <v>24924165.299999997</v>
      </c>
      <c r="L78" s="89">
        <f t="shared" si="7"/>
        <v>23282833.799999993</v>
      </c>
      <c r="M78" s="89">
        <v>0</v>
      </c>
      <c r="N78" s="89">
        <v>0</v>
      </c>
      <c r="O78" s="89">
        <v>0</v>
      </c>
      <c r="P78" s="79"/>
      <c r="Q78" s="79">
        <f t="shared" ref="Q78" si="8">SUM(D78:O78)</f>
        <v>213820939.69999996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6">
      <c r="B87" s="35"/>
      <c r="D87" s="12"/>
      <c r="Q87" s="91"/>
    </row>
    <row r="88" spans="2:17" ht="15.6">
      <c r="B88" s="35"/>
    </row>
    <row r="89" spans="2:17" ht="15.6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2025-10-28T15:14:52Z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